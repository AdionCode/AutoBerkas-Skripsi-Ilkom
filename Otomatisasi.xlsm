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UjiCobaVBA\"/>
    </mc:Choice>
  </mc:AlternateContent>
  <xr:revisionPtr revIDLastSave="0" documentId="13_ncr:1_{D1476204-398C-4D33-B967-D80E7353F43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ADME" sheetId="11" r:id="rId1"/>
    <sheet name="Input" sheetId="10" r:id="rId2"/>
    <sheet name="Data" sheetId="1" r:id="rId3"/>
    <sheet name="Sitendik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1" l="1"/>
  <c r="B14" i="1"/>
  <c r="B3" i="1" a="1"/>
  <c r="B3" i="1" s="1"/>
  <c r="B14" i="10"/>
  <c r="B15" i="1" a="1"/>
  <c r="B15" i="1" s="1"/>
  <c r="B13" i="1" s="1"/>
  <c r="B47" i="10"/>
  <c r="B45" i="10"/>
  <c r="B40" i="1" a="1"/>
  <c r="B40" i="1" s="1"/>
  <c r="B31" i="1" a="1"/>
  <c r="B31" i="1" s="1"/>
  <c r="B34" i="10"/>
  <c r="B33" i="10"/>
  <c r="B32" i="10"/>
  <c r="B2" i="1"/>
  <c r="B30" i="10"/>
  <c r="B29" i="10"/>
  <c r="B28" i="10"/>
  <c r="B13" i="10"/>
  <c r="B11" i="10"/>
  <c r="B9" i="10"/>
  <c r="B23" i="1" l="1" a="1"/>
  <c r="B23" i="1" s="1"/>
  <c r="B36" i="1" a="1"/>
  <c r="B3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E7D2B6-5050-41B1-BDF7-D96C754641A9}" keepAlive="1" name="Query - maksudku olah data ini lagi, tapi tinggalkan NIP    - maksudku olah data ini (2)" description="Connection to the 'maksudku olah data ini lagi, tapi tinggalkan NIP    - maksudku olah data ini (2)' query in the workbook." type="5" refreshedVersion="8" background="1" saveData="1">
    <dbPr connection="Provider=Microsoft.Mashup.OleDb.1;Data Source=$Workbook$;Location=&quot;maksudku olah data ini lagi, tapi tinggalkan NIP    - maksudku olah data ini (2)&quot;;Extended Properties=&quot;&quot;" command="SELECT * FROM [maksudku olah data ini lagi, tapi tinggalkan NIP    - maksudku olah data ini (2)]"/>
  </connection>
  <connection id="2" xr16:uid="{716B235D-F0FF-46C8-843C-57C2CA0E9980}" keepAlive="1" name="Query - maksudku olah data ini lagi, tapi tinggalkan NIP    - maksudku olah data ini lag" description="Connection to the 'maksudku olah data ini lagi, tapi tinggalkan NIP    - maksudku olah data ini lag' query in the workbook." type="5" refreshedVersion="0" background="1">
    <dbPr connection="Provider=Microsoft.Mashup.OleDb.1;Data Source=$Workbook$;Location=&quot;maksudku olah data ini lagi, tapi tinggalkan NIP    - maksudku olah data ini lag&quot;;Extended Properties=&quot;&quot;" command="SELECT * FROM [maksudku olah data ini lagi, tapi tinggalkan NIP    - maksudku olah data ini lag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<sst xmlns="http://schemas.openxmlformats.org/spreadsheetml/2006/main" count="206" uniqueCount="172">
  <si>
    <t>Nama</t>
  </si>
  <si>
    <t>NIM</t>
  </si>
  <si>
    <t>Judul Skripsi</t>
  </si>
  <si>
    <t>Dosen Pembimbing Utama</t>
  </si>
  <si>
    <t>Tahun Ajaran</t>
  </si>
  <si>
    <t>Semester</t>
  </si>
  <si>
    <t>Jabatan Akademik</t>
  </si>
  <si>
    <t>Golongan</t>
  </si>
  <si>
    <t>Lektor</t>
  </si>
  <si>
    <t>III/d (Penata Tk. I)</t>
  </si>
  <si>
    <t>III/b (Penata Muda Tk. I)</t>
  </si>
  <si>
    <t>Annisa Rizqiana</t>
  </si>
  <si>
    <t>Tidak Diketahui</t>
  </si>
  <si>
    <t>Tidak Ada</t>
  </si>
  <si>
    <t>Lektor Kepala</t>
  </si>
  <si>
    <t>Asisten Ahli</t>
  </si>
  <si>
    <t>GENAP</t>
  </si>
  <si>
    <t>2025/2026</t>
  </si>
  <si>
    <t>NIP</t>
  </si>
  <si>
    <t>197703252008121001</t>
  </si>
  <si>
    <t>199308242019031012</t>
  </si>
  <si>
    <t>198404202008122004</t>
  </si>
  <si>
    <t>199806022025062010</t>
  </si>
  <si>
    <t>198212042008011006</t>
  </si>
  <si>
    <t>199309192024061001</t>
  </si>
  <si>
    <t>197612202008121001</t>
  </si>
  <si>
    <t>197804222010121002</t>
  </si>
  <si>
    <t>198808072023211027</t>
  </si>
  <si>
    <t>198001122009121002</t>
  </si>
  <si>
    <t>199103292024061001</t>
  </si>
  <si>
    <t>197307252008011006</t>
  </si>
  <si>
    <t>199006122019031013</t>
  </si>
  <si>
    <t>198809132023211010</t>
  </si>
  <si>
    <t>199305252025061004</t>
  </si>
  <si>
    <t>198704212012122003</t>
  </si>
  <si>
    <t>198809252022031003</t>
  </si>
  <si>
    <t>Nama Lengkap Dosen</t>
  </si>
  <si>
    <t>Panitia Skripsi</t>
  </si>
  <si>
    <t>Irwan Budiman, S.T., M.Kom.</t>
  </si>
  <si>
    <t>Triando Hamonangan Saragih, S.Kom., M.Kom.</t>
  </si>
  <si>
    <t>Fatma Indriani, S.T., M.I.T., Ph.D.</t>
  </si>
  <si>
    <t>Radityo Adi Nugroho, S.T., M.Kom.</t>
  </si>
  <si>
    <t>Naufal Said, S.Kom., M.Sc.</t>
  </si>
  <si>
    <t>Mohammad Reza Faisal, S.Si., S.T., M.T., Ph.D.</t>
  </si>
  <si>
    <t>Muliadi, S.Kom., M.Cs.</t>
  </si>
  <si>
    <t>Setyo Wahyu Saputro, S.Kom., M.Kom.</t>
  </si>
  <si>
    <t>Dodon Turianto Nugrahadi, M.Eng.</t>
  </si>
  <si>
    <t>As'ary Ramadhan, S.Kom.</t>
  </si>
  <si>
    <t>Andi Farmadi, M.T.</t>
  </si>
  <si>
    <t>Muhammad Itqan Mazdadi, S.Kom., M.Kom.</t>
  </si>
  <si>
    <t>Friska Abadi, S.Kom., M.Kom.</t>
  </si>
  <si>
    <t>Rafi'i, S.Kom., M.Kom.</t>
  </si>
  <si>
    <t>Dwi Kartini, S.Kom., M.Kom.</t>
  </si>
  <si>
    <t>Rudy Herteno, S.Kom., M.Kom.</t>
  </si>
  <si>
    <t>Data Dosen Pembimbing</t>
  </si>
  <si>
    <t>Data Diri</t>
  </si>
  <si>
    <t>No HP</t>
  </si>
  <si>
    <t>Dosen Pembimbing Pendamping</t>
  </si>
  <si>
    <t>Program Studi</t>
  </si>
  <si>
    <t>Ilmu Komputer</t>
  </si>
  <si>
    <t>NIP Panitia Skripsi</t>
  </si>
  <si>
    <t>NIP Kaprodi</t>
  </si>
  <si>
    <t>Seminar Proposal</t>
  </si>
  <si>
    <t>Tahun Masuk</t>
  </si>
  <si>
    <t>SKS yang telah ditempuh</t>
  </si>
  <si>
    <t>IPK</t>
  </si>
  <si>
    <t>Jumlah SKS Nilai minimal C</t>
  </si>
  <si>
    <t>Dosen Pembimbing Akademik</t>
  </si>
  <si>
    <t>Data Dosen Penguji</t>
  </si>
  <si>
    <t>Dosen Anggota Penguji</t>
  </si>
  <si>
    <t>Dosen Ketua Penguji</t>
  </si>
  <si>
    <t>Koordinator Prodi</t>
  </si>
  <si>
    <t>Ruangan Sempro</t>
  </si>
  <si>
    <t>NIP DPU</t>
  </si>
  <si>
    <t>Jabatan Akademik DPU</t>
  </si>
  <si>
    <t>Golongan DPU</t>
  </si>
  <si>
    <t>Golongan DPP</t>
  </si>
  <si>
    <t>Jabatan Akademik DPP</t>
  </si>
  <si>
    <t>NIP DPP</t>
  </si>
  <si>
    <t>NIP DKP</t>
  </si>
  <si>
    <t>NIP DAP</t>
  </si>
  <si>
    <t>NIP DPA</t>
  </si>
  <si>
    <t>Seminar Hasil</t>
  </si>
  <si>
    <t>Hari Sempro</t>
  </si>
  <si>
    <t>Tanggal Sempro</t>
  </si>
  <si>
    <t>Tahun Sempro</t>
  </si>
  <si>
    <t>Hari Semhas</t>
  </si>
  <si>
    <t>Tanggal Semhas</t>
  </si>
  <si>
    <t>Tahun Semhas</t>
  </si>
  <si>
    <t>Waktu Sempro</t>
  </si>
  <si>
    <t>Waktu Semhas</t>
  </si>
  <si>
    <t>Ruangan Semhas</t>
  </si>
  <si>
    <t>TempatTanggal TTD</t>
  </si>
  <si>
    <t>Data Prodi</t>
  </si>
  <si>
    <t>Tanggal Minta Tanda Tangan</t>
  </si>
  <si>
    <t>Value</t>
  </si>
  <si>
    <t>3.59</t>
  </si>
  <si>
    <t>Kamis</t>
  </si>
  <si>
    <t>28 Maret</t>
  </si>
  <si>
    <t>9.30 s/d 11.00</t>
  </si>
  <si>
    <t>Lab Komputer S. E.</t>
  </si>
  <si>
    <t>Senin</t>
  </si>
  <si>
    <t>3 November</t>
  </si>
  <si>
    <t>14.00 s/d 15.30</t>
  </si>
  <si>
    <t>Laboratorium Software Engineering</t>
  </si>
  <si>
    <t>Key</t>
  </si>
  <si>
    <t>{{ttd_lokasi_tgl}}</t>
  </si>
  <si>
    <t>{{ta}}</t>
  </si>
  <si>
    <t>{{semester}}</t>
  </si>
  <si>
    <t>{{prodi}}</t>
  </si>
  <si>
    <t>{{kaprodi_nama}}</t>
  </si>
  <si>
    <t>{{kaprodi_nip}}</t>
  </si>
  <si>
    <t>{{panitia_nama}}</t>
  </si>
  <si>
    <t>{{panitia_nip}}</t>
  </si>
  <si>
    <t>{{pa_nama}}</t>
  </si>
  <si>
    <t>{{pa_nip}}</t>
  </si>
  <si>
    <t>{{nama}}</t>
  </si>
  <si>
    <t>{{nim}}</t>
  </si>
  <si>
    <t>{{judul}}</t>
  </si>
  <si>
    <t>{{no_hp}}</t>
  </si>
  <si>
    <t>{{thn_masuk}}</t>
  </si>
  <si>
    <t>{{sks}}</t>
  </si>
  <si>
    <t>{{ipk}}</t>
  </si>
  <si>
    <t>{{sks_c}}</t>
  </si>
  <si>
    <t>{{dpu_nama}}</t>
  </si>
  <si>
    <t>{{dpu_nip}}</t>
  </si>
  <si>
    <t>{{dpu_jabatan}}</t>
  </si>
  <si>
    <t>{{dpu_golongan}}</t>
  </si>
  <si>
    <t>{{dpp_nama}}</t>
  </si>
  <si>
    <t>{{dpp_nip}}</t>
  </si>
  <si>
    <t>{{dpp_jabatan}}</t>
  </si>
  <si>
    <t>{{dpp_golongan}}</t>
  </si>
  <si>
    <t>{{sempro_hari}}</t>
  </si>
  <si>
    <t>{{sempro_tgl}}</t>
  </si>
  <si>
    <t>{{sempro_thn}}</t>
  </si>
  <si>
    <t>{{sempro_waktu}}</t>
  </si>
  <si>
    <t>{{sempro_ruang}}</t>
  </si>
  <si>
    <t>{{dkp_nip}}</t>
  </si>
  <si>
    <t>{{dap_nama}}</t>
  </si>
  <si>
    <t>{{dap_nip}}</t>
  </si>
  <si>
    <t>{{semhas_hari}}</t>
  </si>
  <si>
    <t>{{semhas_tgl}}</t>
  </si>
  <si>
    <t>{{semhas_thn}}</t>
  </si>
  <si>
    <t>{{semhas_waktu}}</t>
  </si>
  <si>
    <t>{{semhas_ruang}}</t>
  </si>
  <si>
    <t>{{dkp_nama}}</t>
  </si>
  <si>
    <t>{{nama_up}}</t>
  </si>
  <si>
    <t>Jabatan</t>
  </si>
  <si>
    <t>{{pa_jabatan}}</t>
  </si>
  <si>
    <t>John Doe</t>
  </si>
  <si>
    <t>2011016000000</t>
  </si>
  <si>
    <t>Judul Skripsi Placeholder untuk Pengujian</t>
  </si>
  <si>
    <t>08123456789</t>
  </si>
  <si>
    <t>Banjarbaru, 3 November 2025</t>
  </si>
  <si>
    <t>Catatan</t>
  </si>
  <si>
    <t>2. Just to be safe, close aplikasi word yang terbuka</t>
  </si>
  <si>
    <t>3. Proses generate mungkin agak lama jika banyak file yang dipilih</t>
  </si>
  <si>
    <t>About</t>
  </si>
  <si>
    <t>Panduan Penggunaan</t>
  </si>
  <si>
    <r>
      <t xml:space="preserve">5. Pilih file </t>
    </r>
    <r>
      <rPr>
        <sz val="10"/>
        <color theme="1"/>
        <rFont val="Arial Unicode MS"/>
      </rPr>
      <t>.docx</t>
    </r>
    <r>
      <rPr>
        <sz val="11"/>
        <color theme="1"/>
        <rFont val="Calibri"/>
        <family val="2"/>
        <scheme val="minor"/>
      </rPr>
      <t xml:space="preserve"> yang ingin Anda proses. (Untuk memilih banyak file, tahan tombol </t>
    </r>
    <r>
      <rPr>
        <b/>
        <sz val="11"/>
        <color theme="1"/>
        <rFont val="Calibri"/>
        <family val="2"/>
        <scheme val="minor"/>
      </rPr>
      <t>Ctrl</t>
    </r>
    <r>
      <rPr>
        <sz val="11"/>
        <color theme="1"/>
        <rFont val="Calibri"/>
        <family val="2"/>
        <scheme val="minor"/>
      </rPr>
      <t xml:space="preserve"> sambil mengklik).</t>
    </r>
  </si>
  <si>
    <r>
      <t xml:space="preserve">7. Selesai! Cek file baru Anda di dalam folder </t>
    </r>
    <r>
      <rPr>
        <b/>
        <sz val="11"/>
        <color theme="1"/>
        <rFont val="Calibri"/>
        <family val="2"/>
        <scheme val="minor"/>
      </rPr>
      <t>"Hasil"</t>
    </r>
    <r>
      <rPr>
        <sz val="11"/>
        <color theme="1"/>
        <rFont val="Calibri"/>
        <family val="2"/>
        <scheme val="minor"/>
      </rPr>
      <t>.</t>
    </r>
  </si>
  <si>
    <t>2. Isi atau ganti data dengan data kalian</t>
  </si>
  <si>
    <r>
      <t xml:space="preserve">3. Klik tombol </t>
    </r>
    <r>
      <rPr>
        <b/>
        <sz val="11"/>
        <color theme="1"/>
        <rFont val="Calibri"/>
        <family val="2"/>
        <scheme val="minor"/>
      </rPr>
      <t>"Generate WORD"</t>
    </r>
    <r>
      <rPr>
        <sz val="11"/>
        <color theme="1"/>
        <rFont val="Calibri"/>
        <family val="2"/>
        <scheme val="minor"/>
      </rPr>
      <t xml:space="preserve"> atau </t>
    </r>
    <r>
      <rPr>
        <b/>
        <sz val="11"/>
        <color theme="1"/>
        <rFont val="Calibri"/>
        <family val="2"/>
        <scheme val="minor"/>
      </rPr>
      <t>"Generate PDF"</t>
    </r>
  </si>
  <si>
    <r>
      <t xml:space="preserve">1. Buka sheet </t>
    </r>
    <r>
      <rPr>
        <b/>
        <sz val="11"/>
        <color theme="1"/>
        <rFont val="Calibri"/>
        <family val="2"/>
        <scheme val="minor"/>
      </rPr>
      <t>"Input"</t>
    </r>
    <r>
      <rPr>
        <sz val="11"/>
        <color theme="1"/>
        <rFont val="Calibri"/>
        <family val="2"/>
        <scheme val="minor"/>
      </rPr>
      <t xml:space="preserve"> di file Excel ini</t>
    </r>
  </si>
  <si>
    <r>
      <t xml:space="preserve">6. Klik "OK" dan tunggu beberapa saat hingga muncul msg box </t>
    </r>
    <r>
      <rPr>
        <b/>
        <sz val="11"/>
        <color theme="1"/>
        <rFont val="Calibri"/>
        <family val="2"/>
        <scheme val="minor"/>
      </rPr>
      <t>"BERHASIL!"</t>
    </r>
    <r>
      <rPr>
        <sz val="11"/>
        <color theme="1"/>
        <rFont val="Calibri"/>
        <family val="2"/>
        <scheme val="minor"/>
      </rPr>
      <t>.</t>
    </r>
  </si>
  <si>
    <t>4. Arahkan ke path folder template</t>
  </si>
  <si>
    <t>1. Pada input dosen sudah otomatis cell nya tinggal pilih dari list nya</t>
  </si>
  <si>
    <t>Proyek mini dibuat untuk membantu proses pemberkasan selama skripsi. GLHF!</t>
  </si>
  <si>
    <t>(Terinspirasi dari "Goes to S.Kom Notion" by Bang Meftah Ilkom'19 untuk menaikkan QOL skripsi)</t>
  </si>
  <si>
    <t>3. Hanya work buat Microsoft office dan windows only</t>
  </si>
  <si>
    <t>{{judul_up}}</t>
  </si>
  <si>
    <t>{{ttd_tgl}}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</si>
</sst>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2" fillId="2" borderId="0" xfId="0" applyFont="1" applyFill="1"/>
    <xf numFmtId="0" fontId="0" fillId="0" borderId="2" xfId="0" applyBorder="1"/>
    <xf numFmtId="0" fontId="0" fillId="0" borderId="2" xfId="0" applyBorder="1" applyAlignment="1">
      <alignment horizontal="left"/>
    </xf>
    <xf numFmtId="0" fontId="3" fillId="9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49" fontId="0" fillId="0" borderId="2" xfId="0" applyNumberForma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3" fillId="9" borderId="3" xfId="0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5" fillId="0" borderId="2" xfId="0" applyFont="1" applyBorder="1" applyAlignment="1">
      <alignment horizontal="center" vertical="center" wrapText="1" readingOrder="1"/>
    </xf>
    <xf numFmtId="0" fontId="5" fillId="10" borderId="2" xfId="0" applyFont="1" applyFill="1" applyBorder="1" applyAlignment="1">
      <alignment horizontal="center" vertical="center" wrapText="1" readingOrder="1"/>
    </xf>
    <xf numFmtId="0" fontId="0" fillId="10" borderId="3" xfId="0" applyFill="1" applyBorder="1" applyAlignment="1">
      <alignment horizontal="left"/>
    </xf>
    <xf numFmtId="0" fontId="5" fillId="11" borderId="2" xfId="0" applyFont="1" applyFill="1" applyBorder="1" applyAlignment="1">
      <alignment horizontal="center" vertical="center" wrapText="1" readingOrder="1"/>
    </xf>
    <xf numFmtId="0" fontId="0" fillId="11" borderId="3" xfId="0" applyFill="1" applyBorder="1" applyAlignment="1">
      <alignment horizontal="left"/>
    </xf>
    <xf numFmtId="0" fontId="3" fillId="8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0" fillId="0" borderId="2" xfId="0" applyFill="1" applyBorder="1"/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medium">
          <color rgb="FF000000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28576</xdr:colOff>
          <xdr:row>1</xdr:row>
          <xdr:rowOff>9525</xdr:rowOff>
        </xdr:from>
        <xdr:to>
          <xdr:col>5</xdr:col>
          <xdr:colOff>723900</xdr:colOff>
          <xdr:row>7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8</xdr:row>
          <xdr:rowOff>180975</xdr:rowOff>
        </xdr:from>
        <xdr:to>
          <xdr:col>5</xdr:col>
          <xdr:colOff>723900</xdr:colOff>
          <xdr:row>15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F10A54-3663-44AD-BC08-543F0C17FE06}" name="Table6" displayName="Table6" ref="A1:D18" totalsRowShown="0" headerRowDxfId="6" dataDxfId="5" tableBorderDxfId="4">
  <autoFilter ref="A1:D18" xr:uid="{64F10A54-3663-44AD-BC08-543F0C17FE06}"/>
  <tableColumns count="4">
    <tableColumn id="1" xr3:uid="{5991E5CB-0A14-48B8-8C8A-ABB39B03ED7D}" name="Nama Lengkap Dosen" dataDxfId="3"/>
    <tableColumn id="2" xr3:uid="{E42A3E70-0884-4562-A1D9-A48281B0EDF4}" name="NIP" dataDxfId="2"/>
    <tableColumn id="3" xr3:uid="{D7C07C00-DFA6-406B-AB9A-4913084266FC}" name="Jabatan Akademik" dataDxfId="1"/>
    <tableColumn id="4" xr3:uid="{A4FEDEE0-2D08-41C5-B66C-E5559B9FB704}" name="Golonga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C8E39-60D7-452C-A813-298BC550097F}">
  <sheetPr codeName="Sheet4"/>
  <dimension ref="B2:B23"/>
  <sheetViews>
    <sheetView tabSelected="1" workbookViewId="0">
      <selection activeCell="D14" sqref="D14"/>
    </sheetView>
  </sheetViews>
  <sheetFormatPr defaultRowHeight="15"/>
  <cols>
    <col min="2" max="2" width="108.85546875" customWidth="1"/>
  </cols>
  <sheetData>
    <row r="2" spans="2:2" ht="23.25">
      <c r="B2" s="24" t="s">
        <v>158</v>
      </c>
    </row>
    <row r="3" spans="2:2">
      <c r="B3" s="25"/>
    </row>
    <row r="4" spans="2:2">
      <c r="B4" s="25" t="s">
        <v>163</v>
      </c>
    </row>
    <row r="5" spans="2:2">
      <c r="B5" s="25" t="s">
        <v>161</v>
      </c>
    </row>
    <row r="6" spans="2:2">
      <c r="B6" s="25" t="s">
        <v>162</v>
      </c>
    </row>
    <row r="7" spans="2:2">
      <c r="B7" s="25" t="s">
        <v>165</v>
      </c>
    </row>
    <row r="8" spans="2:2">
      <c r="B8" s="25" t="s">
        <v>159</v>
      </c>
    </row>
    <row r="9" spans="2:2">
      <c r="B9" s="25" t="s">
        <v>164</v>
      </c>
    </row>
    <row r="10" spans="2:2">
      <c r="B10" s="25" t="s">
        <v>160</v>
      </c>
    </row>
    <row r="13" spans="2:2" ht="23.25">
      <c r="B13" s="26" t="s">
        <v>154</v>
      </c>
    </row>
    <row r="15" spans="2:2">
      <c r="B15" s="25" t="s">
        <v>166</v>
      </c>
    </row>
    <row r="16" spans="2:2">
      <c r="B16" s="25" t="s">
        <v>155</v>
      </c>
    </row>
    <row r="17" spans="2:2">
      <c r="B17" s="25" t="s">
        <v>156</v>
      </c>
    </row>
    <row r="18" spans="2:2">
      <c r="B18" s="25" t="s">
        <v>169</v>
      </c>
    </row>
    <row r="19" spans="2:2">
      <c r="B19" s="25"/>
    </row>
    <row r="21" spans="2:2" ht="23.25">
      <c r="B21" s="26" t="s">
        <v>157</v>
      </c>
    </row>
    <row r="22" spans="2:2">
      <c r="B22" t="s">
        <v>167</v>
      </c>
    </row>
    <row r="23" spans="2:2">
      <c r="B23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9A6F2-1588-4792-9CAC-660A5352C4D8}">
  <sheetPr codeName="Sheet3">
    <tabColor rgb="FF92D050"/>
  </sheetPr>
  <dimension ref="A1:B54"/>
  <sheetViews>
    <sheetView topLeftCell="B1" zoomScaleNormal="100" workbookViewId="0">
      <selection activeCell="B2" sqref="B2"/>
    </sheetView>
  </sheetViews>
  <sheetFormatPr defaultRowHeight="15"/>
  <cols>
    <col min="1" max="1" width="35.28515625" customWidth="1"/>
    <col min="2" max="2" width="107.5703125" style="6" customWidth="1"/>
    <col min="3" max="8" width="11" customWidth="1"/>
  </cols>
  <sheetData>
    <row r="1" spans="1:2">
      <c r="A1" s="17" t="s">
        <v>94</v>
      </c>
      <c r="B1" s="17"/>
    </row>
    <row r="2" spans="1:2">
      <c r="A2" s="3" t="s">
        <v>92</v>
      </c>
      <c r="B2" s="4" t="s">
        <v>153</v>
      </c>
    </row>
    <row r="4" spans="1:2">
      <c r="A4" s="18" t="s">
        <v>93</v>
      </c>
      <c r="B4" s="18"/>
    </row>
    <row r="5" spans="1:2">
      <c r="A5" s="3" t="s">
        <v>4</v>
      </c>
      <c r="B5" s="4" t="s">
        <v>17</v>
      </c>
    </row>
    <row r="6" spans="1:2">
      <c r="A6" s="3" t="s">
        <v>5</v>
      </c>
      <c r="B6" s="4" t="s">
        <v>16</v>
      </c>
    </row>
    <row r="7" spans="1:2">
      <c r="A7" s="3" t="s">
        <v>58</v>
      </c>
      <c r="B7" s="4" t="s">
        <v>59</v>
      </c>
    </row>
    <row r="8" spans="1:2">
      <c r="A8" s="3" t="s">
        <v>71</v>
      </c>
      <c r="B8" s="4" t="s">
        <v>52</v>
      </c>
    </row>
    <row r="9" spans="1:2">
      <c r="A9" s="3" t="s">
        <v>61</v>
      </c>
      <c r="B9" s="4" t="str">
        <f>IFERROR(VLOOKUP($B$8,Table6[],2,FALSE), "Pilih Dosen Terlebih Dahulu")</f>
        <v>198704212012122003</v>
      </c>
    </row>
    <row r="10" spans="1:2">
      <c r="A10" s="3" t="s">
        <v>37</v>
      </c>
      <c r="B10" s="4" t="s">
        <v>50</v>
      </c>
    </row>
    <row r="11" spans="1:2">
      <c r="A11" s="3" t="s">
        <v>60</v>
      </c>
      <c r="B11" s="4" t="str">
        <f>IFERROR(VLOOKUP($B$10,Table6[],2,FALSE), "Pilih Dosen Terlebih Dahulu")</f>
        <v>198809132023211010</v>
      </c>
    </row>
    <row r="12" spans="1:2">
      <c r="A12" s="3" t="s">
        <v>67</v>
      </c>
      <c r="B12" s="4" t="s">
        <v>52</v>
      </c>
    </row>
    <row r="13" spans="1:2">
      <c r="A13" s="3" t="s">
        <v>81</v>
      </c>
      <c r="B13" s="4" t="str">
        <f>IFERROR(VLOOKUP($B$12,Table6[],2,FALSE), "Pilih Dosen Terlebih Dahulu")</f>
        <v>198704212012122003</v>
      </c>
    </row>
    <row r="14" spans="1:2">
      <c r="A14" s="23" t="s">
        <v>147</v>
      </c>
      <c r="B14" s="4" t="str">
        <f>IFERROR(VLOOKUP($B$12,Table6[],3,FALSE), "Pilih Dosen Terlebih Dahulu")</f>
        <v>Lektor</v>
      </c>
    </row>
    <row r="16" spans="1:2">
      <c r="A16" s="19" t="s">
        <v>55</v>
      </c>
      <c r="B16" s="19"/>
    </row>
    <row r="17" spans="1:2">
      <c r="A17" s="3" t="s">
        <v>0</v>
      </c>
      <c r="B17" s="4" t="s">
        <v>149</v>
      </c>
    </row>
    <row r="18" spans="1:2">
      <c r="A18" s="3" t="s">
        <v>1</v>
      </c>
      <c r="B18" s="7" t="s">
        <v>150</v>
      </c>
    </row>
    <row r="19" spans="1:2" ht="16.5">
      <c r="A19" s="3" t="s">
        <v>2</v>
      </c>
      <c r="B19" s="8" t="s">
        <v>151</v>
      </c>
    </row>
    <row r="20" spans="1:2">
      <c r="A20" s="3" t="s">
        <v>56</v>
      </c>
      <c r="B20" s="7" t="s">
        <v>152</v>
      </c>
    </row>
    <row r="21" spans="1:2">
      <c r="A21" s="3" t="s">
        <v>63</v>
      </c>
      <c r="B21" s="4">
        <v>2020</v>
      </c>
    </row>
    <row r="22" spans="1:2">
      <c r="A22" s="3" t="s">
        <v>64</v>
      </c>
      <c r="B22" s="4">
        <v>138</v>
      </c>
    </row>
    <row r="23" spans="1:2">
      <c r="A23" s="3" t="s">
        <v>65</v>
      </c>
      <c r="B23" s="4" t="s">
        <v>96</v>
      </c>
    </row>
    <row r="24" spans="1:2">
      <c r="A24" s="3" t="s">
        <v>66</v>
      </c>
      <c r="B24" s="4">
        <v>138</v>
      </c>
    </row>
    <row r="26" spans="1:2">
      <c r="A26" s="20" t="s">
        <v>54</v>
      </c>
      <c r="B26" s="20"/>
    </row>
    <row r="27" spans="1:2">
      <c r="A27" s="3" t="s">
        <v>3</v>
      </c>
      <c r="B27" s="4" t="s">
        <v>50</v>
      </c>
    </row>
    <row r="28" spans="1:2">
      <c r="A28" s="3" t="s">
        <v>73</v>
      </c>
      <c r="B28" s="4" t="str">
        <f>IFERROR(VLOOKUP($B$27,Table6[],2,FALSE), "Pilih Dosen Terlebih Dahulu")</f>
        <v>198809132023211010</v>
      </c>
    </row>
    <row r="29" spans="1:2">
      <c r="A29" s="3" t="s">
        <v>74</v>
      </c>
      <c r="B29" s="4" t="str">
        <f>IFERROR(VLOOKUP($B$27,Table6[],3,FALSE), "Pilih Dosen Terlebih Dahulu")</f>
        <v>Asisten Ahli</v>
      </c>
    </row>
    <row r="30" spans="1:2">
      <c r="A30" s="3" t="s">
        <v>75</v>
      </c>
      <c r="B30" s="4" t="str">
        <f>IFERROR(VLOOKUP($B$27,Table6[],4,FALSE), "Pilih Dosen Terlebih Dahulu")</f>
        <v>III/b (Penata Muda Tk. I)</v>
      </c>
    </row>
    <row r="31" spans="1:2">
      <c r="A31" s="3" t="s">
        <v>57</v>
      </c>
      <c r="B31" s="4" t="s">
        <v>38</v>
      </c>
    </row>
    <row r="32" spans="1:2">
      <c r="A32" s="3" t="s">
        <v>78</v>
      </c>
      <c r="B32" s="4" t="str">
        <f>IFERROR(VLOOKUP($B$31,Table6[],2,FALSE), "Pilih Dosen Terlebih Dahulu")</f>
        <v>197703252008121001</v>
      </c>
    </row>
    <row r="33" spans="1:2">
      <c r="A33" s="3" t="s">
        <v>77</v>
      </c>
      <c r="B33" s="4" t="str">
        <f>IFERROR(VLOOKUP($B$31,Table6[],3,FALSE), "Pilih Dosen Terlebih Dahulu")</f>
        <v>Lektor</v>
      </c>
    </row>
    <row r="34" spans="1:2">
      <c r="A34" s="3" t="s">
        <v>76</v>
      </c>
      <c r="B34" s="4" t="str">
        <f>IFERROR(VLOOKUP($B$31,Table6[],4,FALSE), "Pilih Dosen Terlebih Dahulu")</f>
        <v>III/d (Penata Tk. I)</v>
      </c>
    </row>
    <row r="36" spans="1:2">
      <c r="A36" s="21" t="s">
        <v>62</v>
      </c>
      <c r="B36" s="21"/>
    </row>
    <row r="37" spans="1:2">
      <c r="A37" s="4" t="s">
        <v>83</v>
      </c>
      <c r="B37" s="4" t="s">
        <v>97</v>
      </c>
    </row>
    <row r="38" spans="1:2">
      <c r="A38" s="3" t="s">
        <v>84</v>
      </c>
      <c r="B38" s="4" t="s">
        <v>98</v>
      </c>
    </row>
    <row r="39" spans="1:2">
      <c r="A39" s="3" t="s">
        <v>85</v>
      </c>
      <c r="B39" s="4">
        <v>2024</v>
      </c>
    </row>
    <row r="40" spans="1:2">
      <c r="A40" s="3" t="s">
        <v>89</v>
      </c>
      <c r="B40" s="4" t="s">
        <v>99</v>
      </c>
    </row>
    <row r="41" spans="1:2">
      <c r="A41" s="3" t="s">
        <v>72</v>
      </c>
      <c r="B41" s="4" t="s">
        <v>100</v>
      </c>
    </row>
    <row r="43" spans="1:2">
      <c r="A43" s="22" t="s">
        <v>68</v>
      </c>
      <c r="B43" s="22"/>
    </row>
    <row r="44" spans="1:2">
      <c r="A44" s="3" t="s">
        <v>70</v>
      </c>
      <c r="B44" s="4" t="s">
        <v>41</v>
      </c>
    </row>
    <row r="45" spans="1:2">
      <c r="A45" s="3" t="s">
        <v>79</v>
      </c>
      <c r="B45" s="4" t="str">
        <f>IFERROR(VLOOKUP($B$44,Table6[],2,FALSE), "Pilih Dosen Terlebih Dahulu")</f>
        <v>198212042008011006</v>
      </c>
    </row>
    <row r="46" spans="1:2">
      <c r="A46" s="3" t="s">
        <v>69</v>
      </c>
      <c r="B46" s="4" t="s">
        <v>46</v>
      </c>
    </row>
    <row r="47" spans="1:2">
      <c r="A47" s="3" t="s">
        <v>80</v>
      </c>
      <c r="B47" s="4" t="str">
        <f>IFERROR(VLOOKUP($B$46,Table6[],2,FALSE), "Pilih Dosen Terlebih Dahulu")</f>
        <v>198001122009121002</v>
      </c>
    </row>
    <row r="49" spans="1:2">
      <c r="A49" s="16" t="s">
        <v>82</v>
      </c>
      <c r="B49" s="16"/>
    </row>
    <row r="50" spans="1:2">
      <c r="A50" s="3" t="s">
        <v>86</v>
      </c>
      <c r="B50" s="4" t="s">
        <v>101</v>
      </c>
    </row>
    <row r="51" spans="1:2">
      <c r="A51" s="3" t="s">
        <v>87</v>
      </c>
      <c r="B51" s="7" t="s">
        <v>102</v>
      </c>
    </row>
    <row r="52" spans="1:2">
      <c r="A52" s="3" t="s">
        <v>88</v>
      </c>
      <c r="B52" s="4">
        <v>2025</v>
      </c>
    </row>
    <row r="53" spans="1:2">
      <c r="A53" s="3" t="s">
        <v>90</v>
      </c>
      <c r="B53" s="4" t="s">
        <v>103</v>
      </c>
    </row>
    <row r="54" spans="1:2">
      <c r="A54" s="3" t="s">
        <v>91</v>
      </c>
      <c r="B54" s="4" t="s">
        <v>104</v>
      </c>
    </row>
  </sheetData>
  <mergeCells count="7">
    <mergeCell ref="A49:B49"/>
    <mergeCell ref="A1:B1"/>
    <mergeCell ref="A4:B4"/>
    <mergeCell ref="A16:B16"/>
    <mergeCell ref="A26:B26"/>
    <mergeCell ref="A36:B36"/>
    <mergeCell ref="A43:B4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_PDF_Only">
                <anchor moveWithCells="1" sizeWithCells="1">
                  <from>
                    <xdr:col>3</xdr:col>
                    <xdr:colOff>28575</xdr:colOff>
                    <xdr:row>1</xdr:row>
                    <xdr:rowOff>9525</xdr:rowOff>
                  </from>
                  <to>
                    <xdr:col>5</xdr:col>
                    <xdr:colOff>723900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Generate_Word_Only">
                <anchor moveWithCells="1" sizeWithCells="1">
                  <from>
                    <xdr:col>3</xdr:col>
                    <xdr:colOff>28575</xdr:colOff>
                    <xdr:row>8</xdr:row>
                    <xdr:rowOff>180975</xdr:rowOff>
                  </from>
                  <to>
                    <xdr:col>5</xdr:col>
                    <xdr:colOff>723900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3A5C14-1BE0-468D-827E-218DC08A60F4}">
          <x14:formula1>
            <xm:f>Sitendik!$A$2:$A$18</xm:f>
          </x14:formula1>
          <xm:sqref>B8 B10 B12 B44 B46 B27 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45"/>
  <sheetViews>
    <sheetView topLeftCell="A7" zoomScale="115" zoomScaleNormal="115" workbookViewId="0">
      <selection activeCell="A24" sqref="A24"/>
    </sheetView>
  </sheetViews>
  <sheetFormatPr defaultRowHeight="15"/>
  <cols>
    <col min="1" max="1" width="35.28515625" customWidth="1"/>
    <col min="2" max="2" width="95.85546875" style="6" customWidth="1"/>
    <col min="3" max="8" width="11" customWidth="1"/>
  </cols>
  <sheetData>
    <row r="1" spans="1:2">
      <c r="A1" s="5" t="s">
        <v>105</v>
      </c>
      <c r="B1" s="9" t="s">
        <v>95</v>
      </c>
    </row>
    <row r="2" spans="1:2">
      <c r="A2" s="14" t="s">
        <v>106</v>
      </c>
      <c r="B2" s="15" t="str">
        <f>Input!B2</f>
        <v>Banjarbaru, 3 November 2025</v>
      </c>
    </row>
    <row r="3" spans="1:2">
      <c r="A3" s="12" t="s">
        <v>107</v>
      </c>
      <c r="B3" s="13" t="str" cm="1">
        <f t="array" ref="B3:B12">Input!B5:B14</f>
        <v>2025/2026</v>
      </c>
    </row>
    <row r="4" spans="1:2">
      <c r="A4" s="12" t="s">
        <v>108</v>
      </c>
      <c r="B4" s="13" t="str">
        <v>GENAP</v>
      </c>
    </row>
    <row r="5" spans="1:2">
      <c r="A5" s="12" t="s">
        <v>109</v>
      </c>
      <c r="B5" s="13" t="str">
        <v>Ilmu Komputer</v>
      </c>
    </row>
    <row r="6" spans="1:2">
      <c r="A6" s="12" t="s">
        <v>110</v>
      </c>
      <c r="B6" s="13" t="str">
        <v>Dwi Kartini, S.Kom., M.Kom.</v>
      </c>
    </row>
    <row r="7" spans="1:2">
      <c r="A7" s="12" t="s">
        <v>111</v>
      </c>
      <c r="B7" s="13" t="str">
        <v>198704212012122003</v>
      </c>
    </row>
    <row r="8" spans="1:2">
      <c r="A8" s="12" t="s">
        <v>112</v>
      </c>
      <c r="B8" s="13" t="str">
        <v>Friska Abadi, S.Kom., M.Kom.</v>
      </c>
    </row>
    <row r="9" spans="1:2">
      <c r="A9" s="12" t="s">
        <v>113</v>
      </c>
      <c r="B9" s="13" t="str">
        <v>198809132023211010</v>
      </c>
    </row>
    <row r="10" spans="1:2">
      <c r="A10" s="12" t="s">
        <v>114</v>
      </c>
      <c r="B10" s="13" t="str">
        <v>Dwi Kartini, S.Kom., M.Kom.</v>
      </c>
    </row>
    <row r="11" spans="1:2">
      <c r="A11" s="12" t="s">
        <v>115</v>
      </c>
      <c r="B11" s="13" t="str">
        <v>198704212012122003</v>
      </c>
    </row>
    <row r="12" spans="1:2">
      <c r="A12" s="12" t="s">
        <v>148</v>
      </c>
      <c r="B12" s="13" t="str">
        <v>Lektor</v>
      </c>
    </row>
    <row r="13" spans="1:2">
      <c r="A13" s="12" t="s">
        <v>146</v>
      </c>
      <c r="B13" s="13" t="str">
        <f>UPPER(B15)</f>
        <v>JOHN DOE</v>
      </c>
    </row>
    <row r="14" spans="1:2">
      <c r="A14" s="12" t="s">
        <v>170</v>
      </c>
      <c r="B14" s="13" t="str">
        <f>UPPER(B17)</f>
        <v>JUDUL SKRIPSI PLACEHOLDER UNTUK PENGUJIAN</v>
      </c>
    </row>
    <row r="15" spans="1:2">
      <c r="A15" s="11" t="s">
        <v>116</v>
      </c>
      <c r="B15" s="10" t="str" cm="1">
        <f t="array" ref="B15:B22">Input!B17:'Input'!B24</f>
        <v>John Doe</v>
      </c>
    </row>
    <row r="16" spans="1:2">
      <c r="A16" s="11" t="s">
        <v>117</v>
      </c>
      <c r="B16" s="10" t="str">
        <v>2011016000000</v>
      </c>
    </row>
    <row r="17" spans="1:2">
      <c r="A17" s="11" t="s">
        <v>118</v>
      </c>
      <c r="B17" s="10" t="str">
        <v>Judul Skripsi Placeholder untuk Pengujian</v>
      </c>
    </row>
    <row r="18" spans="1:2">
      <c r="A18" s="11" t="s">
        <v>119</v>
      </c>
      <c r="B18" s="10" t="str">
        <v>08123456789</v>
      </c>
    </row>
    <row r="19" spans="1:2">
      <c r="A19" s="11" t="s">
        <v>120</v>
      </c>
      <c r="B19" s="10">
        <v>2020</v>
      </c>
    </row>
    <row r="20" spans="1:2">
      <c r="A20" s="11" t="s">
        <v>121</v>
      </c>
      <c r="B20" s="10">
        <v>138</v>
      </c>
    </row>
    <row r="21" spans="1:2">
      <c r="A21" s="11" t="s">
        <v>122</v>
      </c>
      <c r="B21" s="10" t="str">
        <v>3.59</v>
      </c>
    </row>
    <row r="22" spans="1:2">
      <c r="A22" s="11" t="s">
        <v>123</v>
      </c>
      <c r="B22" s="10">
        <v>138</v>
      </c>
    </row>
    <row r="23" spans="1:2">
      <c r="A23" s="12" t="s">
        <v>124</v>
      </c>
      <c r="B23" s="13" t="str" cm="1">
        <f t="array" ref="B23:B30">Input!B27:B34</f>
        <v>Friska Abadi, S.Kom., M.Kom.</v>
      </c>
    </row>
    <row r="24" spans="1:2">
      <c r="A24" s="12" t="s">
        <v>125</v>
      </c>
      <c r="B24" s="13" t="str">
        <v>198809132023211010</v>
      </c>
    </row>
    <row r="25" spans="1:2">
      <c r="A25" s="12" t="s">
        <v>126</v>
      </c>
      <c r="B25" s="13" t="str">
        <v>Asisten Ahli</v>
      </c>
    </row>
    <row r="26" spans="1:2">
      <c r="A26" s="12" t="s">
        <v>127</v>
      </c>
      <c r="B26" s="13" t="str">
        <v>III/b (Penata Muda Tk. I)</v>
      </c>
    </row>
    <row r="27" spans="1:2">
      <c r="A27" s="12" t="s">
        <v>128</v>
      </c>
      <c r="B27" s="13" t="str">
        <v>Irwan Budiman, S.T., M.Kom.</v>
      </c>
    </row>
    <row r="28" spans="1:2">
      <c r="A28" s="12" t="s">
        <v>129</v>
      </c>
      <c r="B28" s="13" t="str">
        <v>197703252008121001</v>
      </c>
    </row>
    <row r="29" spans="1:2">
      <c r="A29" s="12" t="s">
        <v>130</v>
      </c>
      <c r="B29" s="13" t="str">
        <v>Lektor</v>
      </c>
    </row>
    <row r="30" spans="1:2">
      <c r="A30" s="12" t="s">
        <v>131</v>
      </c>
      <c r="B30" s="13" t="str">
        <v>III/d (Penata Tk. I)</v>
      </c>
    </row>
    <row r="31" spans="1:2">
      <c r="A31" s="11" t="s">
        <v>132</v>
      </c>
      <c r="B31" s="10" t="str" cm="1">
        <f t="array" ref="B31:B35">Input!B37:B41</f>
        <v>Kamis</v>
      </c>
    </row>
    <row r="32" spans="1:2">
      <c r="A32" s="11" t="s">
        <v>133</v>
      </c>
      <c r="B32" s="10" t="str">
        <v>28 Maret</v>
      </c>
    </row>
    <row r="33" spans="1:2">
      <c r="A33" s="11" t="s">
        <v>134</v>
      </c>
      <c r="B33" s="10">
        <v>2024</v>
      </c>
    </row>
    <row r="34" spans="1:2">
      <c r="A34" s="11" t="s">
        <v>135</v>
      </c>
      <c r="B34" s="10" t="str">
        <v>9.30 s/d 11.00</v>
      </c>
    </row>
    <row r="35" spans="1:2">
      <c r="A35" s="11" t="s">
        <v>136</v>
      </c>
      <c r="B35" s="10" t="str">
        <v>Lab Komputer S. E.</v>
      </c>
    </row>
    <row r="36" spans="1:2">
      <c r="A36" s="12" t="s">
        <v>145</v>
      </c>
      <c r="B36" s="13" t="str" cm="1">
        <f t="array" ref="B36:B39">Input!B44:B47</f>
        <v>Radityo Adi Nugroho, S.T., M.Kom.</v>
      </c>
    </row>
    <row r="37" spans="1:2">
      <c r="A37" s="12" t="s">
        <v>137</v>
      </c>
      <c r="B37" s="13" t="str">
        <v>198212042008011006</v>
      </c>
    </row>
    <row r="38" spans="1:2">
      <c r="A38" s="12" t="s">
        <v>138</v>
      </c>
      <c r="B38" s="13" t="str">
        <v>Dodon Turianto Nugrahadi, M.Eng.</v>
      </c>
    </row>
    <row r="39" spans="1:2">
      <c r="A39" s="12" t="s">
        <v>139</v>
      </c>
      <c r="B39" s="13" t="str">
        <v>198001122009121002</v>
      </c>
    </row>
    <row r="40" spans="1:2">
      <c r="A40" s="11" t="s">
        <v>140</v>
      </c>
      <c r="B40" s="10" t="str" cm="1">
        <f t="array" ref="B40:B44">Input!B50:B54</f>
        <v>Senin</v>
      </c>
    </row>
    <row r="41" spans="1:2">
      <c r="A41" s="11" t="s">
        <v>141</v>
      </c>
      <c r="B41" s="10" t="str">
        <v>3 November</v>
      </c>
    </row>
    <row r="42" spans="1:2">
      <c r="A42" s="11" t="s">
        <v>142</v>
      </c>
      <c r="B42" s="10">
        <v>2025</v>
      </c>
    </row>
    <row r="43" spans="1:2">
      <c r="A43" s="11" t="s">
        <v>143</v>
      </c>
      <c r="B43" s="10" t="str">
        <v>14.00 s/d 15.30</v>
      </c>
    </row>
    <row r="44" spans="1:2">
      <c r="A44" s="11" t="s">
        <v>144</v>
      </c>
      <c r="B44" s="10" t="str">
        <v>Laboratorium Software Engineering</v>
      </c>
    </row>
    <row r="45" spans="1:2">
      <c r="A45" s="27" t="s">
        <v>171</v>
      </c>
      <c r="B45" s="4" t="str">
        <f>TRIM(MID(B2, FIND(",", B2) + 1, 999))</f>
        <v>3 November 2025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160AE-42CA-4E9A-A8AA-4098AFFE5619}">
  <sheetPr codeName="Sheet2">
    <tabColor theme="4" tint="0.79998168889431442"/>
  </sheetPr>
  <dimension ref="A1:D18"/>
  <sheetViews>
    <sheetView workbookViewId="0">
      <selection activeCell="D28" sqref="D28"/>
    </sheetView>
  </sheetViews>
  <sheetFormatPr defaultRowHeight="15"/>
  <cols>
    <col min="1" max="1" width="49.85546875" customWidth="1"/>
    <col min="2" max="2" width="26.85546875" customWidth="1"/>
    <col min="3" max="3" width="19.140625" customWidth="1"/>
    <col min="4" max="4" width="23.5703125" customWidth="1"/>
  </cols>
  <sheetData>
    <row r="1" spans="1:4">
      <c r="A1" s="2" t="s">
        <v>36</v>
      </c>
      <c r="B1" s="2" t="s">
        <v>18</v>
      </c>
      <c r="C1" s="2" t="s">
        <v>6</v>
      </c>
      <c r="D1" s="2" t="s">
        <v>7</v>
      </c>
    </row>
    <row r="2" spans="1:4">
      <c r="A2" s="1" t="s">
        <v>38</v>
      </c>
      <c r="B2" s="1" t="s">
        <v>19</v>
      </c>
      <c r="C2" s="1" t="s">
        <v>8</v>
      </c>
      <c r="D2" s="1" t="s">
        <v>9</v>
      </c>
    </row>
    <row r="3" spans="1:4">
      <c r="A3" s="1" t="s">
        <v>39</v>
      </c>
      <c r="B3" s="1" t="s">
        <v>20</v>
      </c>
      <c r="C3" s="1" t="s">
        <v>8</v>
      </c>
      <c r="D3" s="1" t="s">
        <v>10</v>
      </c>
    </row>
    <row r="4" spans="1:4">
      <c r="A4" s="1" t="s">
        <v>40</v>
      </c>
      <c r="B4" s="1" t="s">
        <v>21</v>
      </c>
      <c r="C4" s="1" t="s">
        <v>8</v>
      </c>
      <c r="D4" s="1" t="s">
        <v>9</v>
      </c>
    </row>
    <row r="5" spans="1:4">
      <c r="A5" s="1" t="s">
        <v>11</v>
      </c>
      <c r="B5" s="1" t="s">
        <v>22</v>
      </c>
      <c r="C5" s="1" t="s">
        <v>12</v>
      </c>
      <c r="D5" s="1" t="s">
        <v>12</v>
      </c>
    </row>
    <row r="6" spans="1:4">
      <c r="A6" s="1" t="s">
        <v>41</v>
      </c>
      <c r="B6" s="1" t="s">
        <v>23</v>
      </c>
      <c r="C6" s="1" t="s">
        <v>8</v>
      </c>
      <c r="D6" s="1" t="s">
        <v>9</v>
      </c>
    </row>
    <row r="7" spans="1:4">
      <c r="A7" s="1" t="s">
        <v>42</v>
      </c>
      <c r="B7" s="1" t="s">
        <v>24</v>
      </c>
      <c r="C7" s="1" t="s">
        <v>13</v>
      </c>
      <c r="D7" s="1" t="s">
        <v>12</v>
      </c>
    </row>
    <row r="8" spans="1:4">
      <c r="A8" s="1" t="s">
        <v>43</v>
      </c>
      <c r="B8" s="1" t="s">
        <v>25</v>
      </c>
      <c r="C8" s="1" t="s">
        <v>14</v>
      </c>
      <c r="D8" s="1" t="s">
        <v>9</v>
      </c>
    </row>
    <row r="9" spans="1:4">
      <c r="A9" s="1" t="s">
        <v>44</v>
      </c>
      <c r="B9" s="1" t="s">
        <v>26</v>
      </c>
      <c r="C9" s="1" t="s">
        <v>8</v>
      </c>
      <c r="D9" s="1" t="s">
        <v>10</v>
      </c>
    </row>
    <row r="10" spans="1:4">
      <c r="A10" s="1" t="s">
        <v>45</v>
      </c>
      <c r="B10" s="1" t="s">
        <v>27</v>
      </c>
      <c r="C10" s="1" t="s">
        <v>15</v>
      </c>
      <c r="D10" s="1" t="s">
        <v>10</v>
      </c>
    </row>
    <row r="11" spans="1:4">
      <c r="A11" s="1" t="s">
        <v>46</v>
      </c>
      <c r="B11" s="1" t="s">
        <v>28</v>
      </c>
      <c r="C11" s="1" t="s">
        <v>8</v>
      </c>
      <c r="D11" s="1" t="s">
        <v>9</v>
      </c>
    </row>
    <row r="12" spans="1:4">
      <c r="A12" s="1" t="s">
        <v>47</v>
      </c>
      <c r="B12" s="1" t="s">
        <v>29</v>
      </c>
      <c r="C12" s="1" t="s">
        <v>15</v>
      </c>
      <c r="D12" s="1" t="s">
        <v>12</v>
      </c>
    </row>
    <row r="13" spans="1:4">
      <c r="A13" s="1" t="s">
        <v>48</v>
      </c>
      <c r="B13" s="1" t="s">
        <v>30</v>
      </c>
      <c r="C13" s="1" t="s">
        <v>15</v>
      </c>
      <c r="D13" s="1" t="s">
        <v>10</v>
      </c>
    </row>
    <row r="14" spans="1:4">
      <c r="A14" s="1" t="s">
        <v>49</v>
      </c>
      <c r="B14" s="1" t="s">
        <v>31</v>
      </c>
      <c r="C14" s="1" t="s">
        <v>8</v>
      </c>
      <c r="D14" s="1" t="s">
        <v>10</v>
      </c>
    </row>
    <row r="15" spans="1:4">
      <c r="A15" s="1" t="s">
        <v>50</v>
      </c>
      <c r="B15" s="1" t="s">
        <v>32</v>
      </c>
      <c r="C15" s="1" t="s">
        <v>15</v>
      </c>
      <c r="D15" s="1" t="s">
        <v>10</v>
      </c>
    </row>
    <row r="16" spans="1:4">
      <c r="A16" s="1" t="s">
        <v>51</v>
      </c>
      <c r="B16" s="1" t="s">
        <v>33</v>
      </c>
      <c r="C16" s="1" t="s">
        <v>15</v>
      </c>
      <c r="D16" s="1" t="s">
        <v>12</v>
      </c>
    </row>
    <row r="17" spans="1:4">
      <c r="A17" s="1" t="s">
        <v>52</v>
      </c>
      <c r="B17" s="1" t="s">
        <v>34</v>
      </c>
      <c r="C17" s="1" t="s">
        <v>8</v>
      </c>
      <c r="D17" s="1" t="s">
        <v>9</v>
      </c>
    </row>
    <row r="18" spans="1:4">
      <c r="A18" s="1" t="s">
        <v>53</v>
      </c>
      <c r="B18" s="1" t="s">
        <v>35</v>
      </c>
      <c r="C18" s="1" t="s">
        <v>15</v>
      </c>
      <c r="D18" s="1" t="s">
        <v>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AA00AD-CDBD-416A-BB04-80CBD142B1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Input</vt:lpstr>
      <vt:lpstr>Data</vt:lpstr>
      <vt:lpstr>Sitendik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ACER NITRO 5</cp:lastModifiedBy>
  <dcterms:created xsi:type="dcterms:W3CDTF">2015-06-05T18:17:20Z</dcterms:created>
  <dcterms:modified xsi:type="dcterms:W3CDTF">2025-10-26T15:35:16Z</dcterms:modified>
</cp:coreProperties>
</file>